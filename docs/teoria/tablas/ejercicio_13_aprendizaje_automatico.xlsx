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a\ETSII_IA\docs\teoria\tablas\"/>
    </mc:Choice>
  </mc:AlternateContent>
  <xr:revisionPtr revIDLastSave="0" documentId="13_ncr:9_{B589F19F-957A-40E1-9CDE-B68829B75A20}" xr6:coauthVersionLast="47" xr6:coauthVersionMax="47" xr10:uidLastSave="{00000000-0000-0000-0000-000000000000}"/>
  <bookViews>
    <workbookView xWindow="-110" yWindow="-110" windowWidth="19420" windowHeight="11020" activeTab="1" xr2:uid="{0E25C846-6A45-4F7C-8946-341996EB7490}"/>
  </bookViews>
  <sheets>
    <sheet name="kNN_ejercicio_13" sheetId="1" r:id="rId1"/>
    <sheet name="kNN_ejercicio_16" sheetId="2" r:id="rId2"/>
  </sheets>
  <calcPr calcId="0"/>
</workbook>
</file>

<file path=xl/calcChain.xml><?xml version="1.0" encoding="utf-8"?>
<calcChain xmlns="http://schemas.openxmlformats.org/spreadsheetml/2006/main">
  <c r="P28" i="1" l="1" a="1"/>
  <c r="P28" i="1" s="1"/>
  <c r="P18" i="1" a="1"/>
  <c r="P18" i="1" s="1"/>
  <c r="P19" i="1" a="1"/>
  <c r="P19" i="1" s="1"/>
  <c r="P20" i="1" a="1"/>
  <c r="P20" i="1" s="1"/>
  <c r="P21" i="1" a="1"/>
  <c r="P21" i="1" s="1"/>
  <c r="P22" i="1" a="1"/>
  <c r="P22" i="1" s="1"/>
  <c r="P23" i="1" a="1"/>
  <c r="P23" i="1" s="1"/>
  <c r="P24" i="1" a="1"/>
  <c r="P24" i="1" s="1"/>
  <c r="P25" i="1" a="1"/>
  <c r="P25" i="1" s="1"/>
  <c r="P26" i="1" a="1"/>
  <c r="P26" i="1" s="1"/>
  <c r="P27" i="1" a="1"/>
  <c r="P27" i="1" s="1"/>
  <c r="N20" i="1" a="1"/>
  <c r="N20" i="1" s="1"/>
  <c r="N21" i="1" a="1"/>
  <c r="N21" i="1" s="1"/>
  <c r="N22" i="1" a="1"/>
  <c r="N22" i="1"/>
  <c r="N23" i="1" a="1"/>
  <c r="N23" i="1"/>
  <c r="N24" i="1" a="1"/>
  <c r="N24" i="1" s="1"/>
  <c r="N25" i="1" a="1"/>
  <c r="N25" i="1" s="1"/>
  <c r="N26" i="1" a="1"/>
  <c r="N26" i="1"/>
  <c r="N27" i="1" a="1"/>
  <c r="N27" i="1"/>
  <c r="N28" i="1" a="1"/>
  <c r="N28" i="1" s="1"/>
  <c r="O28" i="1" a="1"/>
  <c r="O28" i="1" s="1"/>
  <c r="O27" i="1" a="1"/>
  <c r="O27" i="1" s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/>
  <c r="O26" i="1" a="1"/>
  <c r="O26" i="1" s="1"/>
  <c r="P17" i="1" a="1"/>
  <c r="P17" i="1" s="1"/>
  <c r="O17" i="1" a="1"/>
  <c r="O17" i="1" s="1"/>
  <c r="N17" i="1" a="1"/>
  <c r="N17" i="1" s="1"/>
  <c r="N18" i="1" a="1"/>
  <c r="N18" i="1" s="1"/>
  <c r="N19" i="1" a="1"/>
  <c r="N19" i="1" s="1"/>
  <c r="N3" i="1" a="1"/>
  <c r="N3" i="1" s="1"/>
  <c r="P3" i="1" s="1" a="1"/>
  <c r="P3" i="1" s="1"/>
  <c r="N2" i="1" a="1"/>
  <c r="N2" i="1" s="1"/>
  <c r="P2" i="1" s="1" a="1"/>
  <c r="P2" i="1" s="1"/>
  <c r="N13" i="1" a="1"/>
  <c r="N13" i="1"/>
  <c r="P13" i="1" s="1" a="1"/>
  <c r="P13" i="1" s="1"/>
  <c r="P4" i="1" a="1"/>
  <c r="P4" i="1" s="1"/>
  <c r="P5" i="1" a="1"/>
  <c r="P5" i="1" s="1"/>
  <c r="P6" i="1" a="1"/>
  <c r="P6" i="1"/>
  <c r="P7" i="1" a="1"/>
  <c r="P7" i="1" s="1"/>
  <c r="P8" i="1" a="1"/>
  <c r="P8" i="1" s="1"/>
  <c r="P9" i="1" a="1"/>
  <c r="P9" i="1" s="1"/>
  <c r="P10" i="1" a="1"/>
  <c r="P10" i="1"/>
  <c r="P11" i="1" a="1"/>
  <c r="P11" i="1" s="1"/>
  <c r="P12" i="1" a="1"/>
  <c r="P12" i="1" s="1"/>
  <c r="O3" i="1" a="1"/>
  <c r="O3" i="1" s="1"/>
  <c r="O4" i="1" a="1"/>
  <c r="O4" i="1" s="1"/>
  <c r="O5" i="1" a="1"/>
  <c r="O5" i="1" s="1"/>
  <c r="O6" i="1" a="1"/>
  <c r="O6" i="1"/>
  <c r="O7" i="1" a="1"/>
  <c r="O7" i="1" s="1"/>
  <c r="O8" i="1" a="1"/>
  <c r="O8" i="1" s="1"/>
  <c r="O9" i="1" a="1"/>
  <c r="O9" i="1" s="1"/>
  <c r="O10" i="1" a="1"/>
  <c r="O10" i="1"/>
  <c r="O11" i="1" a="1"/>
  <c r="O11" i="1" s="1"/>
  <c r="O12" i="1" a="1"/>
  <c r="O12" i="1" s="1"/>
  <c r="O13" i="1" a="1"/>
  <c r="O13" i="1" s="1"/>
  <c r="O2" i="1" a="1"/>
  <c r="O2" i="1" s="1"/>
  <c r="N4" i="1" a="1"/>
  <c r="N4" i="1" s="1"/>
  <c r="N5" i="1" a="1"/>
  <c r="N5" i="1"/>
  <c r="N6" i="1" a="1"/>
  <c r="N6" i="1" s="1"/>
  <c r="N7" i="1" a="1"/>
  <c r="N7" i="1" s="1"/>
  <c r="N8" i="1" a="1"/>
  <c r="N8" i="1" s="1"/>
  <c r="N9" i="1" a="1"/>
  <c r="N9" i="1"/>
  <c r="N10" i="1" a="1"/>
  <c r="N10" i="1" s="1"/>
  <c r="N11" i="1" a="1"/>
  <c r="N11" i="1" s="1"/>
  <c r="N12" i="1" a="1"/>
  <c r="N12" i="1" s="1"/>
  <c r="L18" i="1"/>
  <c r="L19" i="1"/>
  <c r="L17" i="1"/>
  <c r="K18" i="1"/>
  <c r="K19" i="1"/>
  <c r="K17" i="1"/>
  <c r="J18" i="1"/>
  <c r="J19" i="1"/>
  <c r="J17" i="1"/>
  <c r="I18" i="1"/>
  <c r="I19" i="1"/>
  <c r="I17" i="1"/>
  <c r="H18" i="1"/>
  <c r="H19" i="1"/>
  <c r="H17" i="1"/>
  <c r="L3" i="1"/>
  <c r="L4" i="1"/>
  <c r="L5" i="1"/>
  <c r="L6" i="1"/>
  <c r="L7" i="1"/>
  <c r="L8" i="1"/>
  <c r="L9" i="1"/>
  <c r="L10" i="1"/>
  <c r="L11" i="1"/>
  <c r="L12" i="1"/>
  <c r="L13" i="1"/>
  <c r="L2" i="1"/>
  <c r="K3" i="1"/>
  <c r="K4" i="1"/>
  <c r="K5" i="1"/>
  <c r="K6" i="1"/>
  <c r="K7" i="1"/>
  <c r="K8" i="1"/>
  <c r="K9" i="1"/>
  <c r="K10" i="1"/>
  <c r="K11" i="1"/>
  <c r="K12" i="1"/>
  <c r="K13" i="1"/>
  <c r="K2" i="1"/>
  <c r="J3" i="1"/>
  <c r="J4" i="1"/>
  <c r="J5" i="1"/>
  <c r="J6" i="1"/>
  <c r="J7" i="1"/>
  <c r="J8" i="1"/>
  <c r="J9" i="1"/>
  <c r="J10" i="1"/>
  <c r="J11" i="1"/>
  <c r="J12" i="1"/>
  <c r="J13" i="1"/>
  <c r="J2" i="1"/>
  <c r="I3" i="1"/>
  <c r="I4" i="1"/>
  <c r="I5" i="1"/>
  <c r="I6" i="1"/>
  <c r="I7" i="1"/>
  <c r="I8" i="1"/>
  <c r="I9" i="1"/>
  <c r="I10" i="1"/>
  <c r="I11" i="1"/>
  <c r="I12" i="1"/>
  <c r="I13" i="1"/>
  <c r="I2" i="1"/>
  <c r="H11" i="1"/>
  <c r="H9" i="1"/>
  <c r="H3" i="1"/>
  <c r="H4" i="1"/>
  <c r="H5" i="1"/>
  <c r="H6" i="1"/>
  <c r="H7" i="1"/>
  <c r="H8" i="1"/>
  <c r="H10" i="1"/>
  <c r="H12" i="1"/>
  <c r="H13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<sst xmlns="http://schemas.openxmlformats.org/spreadsheetml/2006/main" count="44" uniqueCount="35">
  <si>
    <t>Aluminio</t>
  </si>
  <si>
    <t>Hierro</t>
  </si>
  <si>
    <t>Magnesio</t>
  </si>
  <si>
    <t>Calcio</t>
  </si>
  <si>
    <t>Sodio</t>
  </si>
  <si>
    <t>Lugar</t>
  </si>
  <si>
    <t>Lugar 1</t>
  </si>
  <si>
    <t>Lugar 2</t>
  </si>
  <si>
    <t>Lugar 3</t>
  </si>
  <si>
    <t>Aluminio_norm</t>
  </si>
  <si>
    <t>Hierro_norm</t>
  </si>
  <si>
    <t>Magnesio_norm</t>
  </si>
  <si>
    <t>Calcio_norm</t>
  </si>
  <si>
    <t>Sodio_norm</t>
  </si>
  <si>
    <t xml:space="preserve">Aluminio </t>
  </si>
  <si>
    <t xml:space="preserve"> Hierro </t>
  </si>
  <si>
    <t xml:space="preserve"> Magnesio </t>
  </si>
  <si>
    <t xml:space="preserve"> Calcio </t>
  </si>
  <si>
    <t xml:space="preserve"> Sodio </t>
  </si>
  <si>
    <t xml:space="preserve">Aluminio_norm </t>
  </si>
  <si>
    <t xml:space="preserve"> Hierro_norm </t>
  </si>
  <si>
    <t xml:space="preserve"> Magnesio_norm </t>
  </si>
  <si>
    <t xml:space="preserve"> Calcio_norm</t>
  </si>
  <si>
    <t xml:space="preserve"> Sodio_norm</t>
  </si>
  <si>
    <t>Manhattan_E1</t>
  </si>
  <si>
    <t>Manhattan_E2</t>
  </si>
  <si>
    <t>Manhattan_E3</t>
  </si>
  <si>
    <t>Euclieda_E1</t>
  </si>
  <si>
    <t>Euclidea_E2</t>
  </si>
  <si>
    <t>Euclidea_E3</t>
  </si>
  <si>
    <t xml:space="preserve"> Anchura máxima </t>
  </si>
  <si>
    <t xml:space="preserve"> Altura basio-bregmática </t>
  </si>
  <si>
    <t xml:space="preserve"> Longitud basioloalveolar </t>
  </si>
  <si>
    <t xml:space="preserve"> Altura nasal </t>
  </si>
  <si>
    <t xml:space="preserve"> Época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</si>
</sst>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2" fontId="18" fillId="0" borderId="0" xfId="0" applyNumberFormat="1" applyFont="1" applyAlignment="1">
      <alignment vertical="center"/>
    </xf>
    <xf numFmtId="2" fontId="0" fillId="0" borderId="0" xfId="0" applyNumberFormat="1" applyAlignment="1">
      <alignment horizontal="right"/>
    </xf>
    <xf numFmtId="0" fontId="19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C3441-FA16-473B-ABF1-ABE29C4CAC63}">
  <dimension ref="A1:P28"/>
  <sheetViews>
    <sheetView topLeftCell="A2" zoomScale="83" zoomScaleNormal="83" workbookViewId="0">
      <selection activeCell="M20" sqref="M20"/>
    </sheetView>
  </sheetViews>
  <sheetFormatPr baseColWidth="10" defaultRowHeight="14.5" x14ac:dyDescent="0.35"/>
  <cols>
    <col min="8" max="8" width="12.81640625" bestFit="1" customWidth="1"/>
    <col min="14" max="14" width="11.8164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N1" t="s">
        <v>24</v>
      </c>
      <c r="O1" t="s">
        <v>25</v>
      </c>
      <c r="P1" t="s">
        <v>26</v>
      </c>
    </row>
    <row r="2" spans="1:16" x14ac:dyDescent="0.35">
      <c r="A2" s="1">
        <v>14.4</v>
      </c>
      <c r="B2" s="2">
        <v>7</v>
      </c>
      <c r="C2" s="2">
        <v>4.3</v>
      </c>
      <c r="D2" s="2">
        <v>0.15</v>
      </c>
      <c r="E2" s="2">
        <v>0.51</v>
      </c>
      <c r="F2" t="s">
        <v>6</v>
      </c>
      <c r="H2" s="1">
        <f>(A2-MIN($A$2:$A$13))/(MAX($A$2:$A$13)-MIN($A$2:$A$13))</f>
        <v>0.4264705882352941</v>
      </c>
      <c r="I2" s="1">
        <f>(B2-MIN($B$2:$B$13))/(MAX($B$2:$B$13)-MIN($B$2:$B$13))</f>
        <v>0.98541329011345224</v>
      </c>
      <c r="J2" s="2">
        <f>(C2-MIN($C$2:$C$13))/(MAX($C$2:$C$13)-MIN($C$2:$C$13))</f>
        <v>0.73776908023483367</v>
      </c>
      <c r="K2" s="2">
        <f>(D2-MIN($D$2:$D$13))/(MAX($D$2:$D$13)-MIN($D$2:$D$13))</f>
        <v>0.93333333333333324</v>
      </c>
      <c r="L2" s="2">
        <f>(E2-MIN($E$2:$E$13))/(MAX($E$2:$E$13)-MIN($E$2:$E$13))</f>
        <v>1</v>
      </c>
      <c r="N2" s="2" cm="1">
        <f t="array" ref="N2">SUM(ABS(H2:L2 - $H$17:$L$17))</f>
        <v>1.2806489389343803</v>
      </c>
      <c r="O2" s="2" cm="1">
        <f t="array" ref="O2">SUM(ABS(I2:M2 - $H$18:$L$18))</f>
        <v>2.6663635324914363</v>
      </c>
      <c r="P2" s="2" cm="1">
        <f t="array" ref="P2">SUM(ABS(J2:N2 - $H$19:$L$19))</f>
        <v>4.0634679416270405</v>
      </c>
    </row>
    <row r="3" spans="1:16" x14ac:dyDescent="0.35">
      <c r="A3" s="1">
        <v>13.8</v>
      </c>
      <c r="B3" s="2">
        <v>7.08</v>
      </c>
      <c r="C3" s="2">
        <v>3.43</v>
      </c>
      <c r="D3" s="2">
        <v>0.12</v>
      </c>
      <c r="E3" s="2">
        <v>0.17</v>
      </c>
      <c r="F3" t="s">
        <v>6</v>
      </c>
      <c r="H3" s="1">
        <f>(A3-MIN($A$2:$A$13))/(MAX($A$2:$A$13)-MIN($A$2:$A$13))</f>
        <v>0.33823529411764713</v>
      </c>
      <c r="I3" s="1">
        <f t="shared" ref="I3:I13" si="0">(B3-MIN($B$2:$B$13))/(MAX($B$2:$B$13)-MIN($B$2:$B$13))</f>
        <v>0.99837925445705022</v>
      </c>
      <c r="J3" s="2">
        <f t="shared" ref="J3:J13" si="1">(C3-MIN($C$2:$C$13))/(MAX($C$2:$C$13)-MIN($C$2:$C$13))</f>
        <v>0.56751467710371828</v>
      </c>
      <c r="K3" s="2">
        <f t="shared" ref="K3:K13" si="2">(D3-MIN($D$2:$D$13))/(MAX($D$2:$D$13)-MIN($D$2:$D$13))</f>
        <v>0.73333333333333339</v>
      </c>
      <c r="L3" s="2">
        <f t="shared" ref="L3:L13" si="3">(E3-MIN($E$2:$E$13))/(MAX($E$2:$E$13)-MIN($E$2:$E$13))</f>
        <v>0.29166666666666669</v>
      </c>
      <c r="N3" s="2" cm="1">
        <f t="array" ref="N3">SUM(ABS($H3:$L3 - $H$17:$L$17))</f>
        <v>0.97285173244271628</v>
      </c>
      <c r="O3" s="2" cm="1">
        <f t="array" ref="O3">SUM(ABS(I3:M3 - $H$18:$L$18))</f>
        <v>1.7914764983500564</v>
      </c>
      <c r="P3" s="2" cm="1">
        <f t="array" ref="P3">SUM(ABS(J3:N3 - $H$19:$L$19))</f>
        <v>3.0175918049331587</v>
      </c>
    </row>
    <row r="4" spans="1:16" x14ac:dyDescent="0.35">
      <c r="A4" s="1">
        <v>14.6</v>
      </c>
      <c r="B4" s="2">
        <v>7.09</v>
      </c>
      <c r="C4" s="2">
        <v>3.88</v>
      </c>
      <c r="D4" s="2">
        <v>0.13</v>
      </c>
      <c r="E4" s="2">
        <v>0.2</v>
      </c>
      <c r="F4" t="s">
        <v>6</v>
      </c>
      <c r="H4" s="1">
        <f t="shared" ref="H3:H13" si="4">(A4-MIN($A$2:$A$13))/(MAX($A$2:$A$13)-MIN($A$2:$A$13))</f>
        <v>0.45588235294117635</v>
      </c>
      <c r="I4" s="1">
        <f t="shared" si="0"/>
        <v>1</v>
      </c>
      <c r="J4" s="2">
        <f t="shared" si="1"/>
        <v>0.65557729941291587</v>
      </c>
      <c r="K4" s="2">
        <f t="shared" si="2"/>
        <v>0.8</v>
      </c>
      <c r="L4" s="2">
        <f t="shared" si="3"/>
        <v>0.35416666666666669</v>
      </c>
      <c r="N4" s="2" cm="1">
        <f t="array" ref="N4">SUM(ABS(H4:L4 - $H$17:$L$17))</f>
        <v>0.87489024783333103</v>
      </c>
      <c r="O4" s="2" cm="1">
        <f t="array" ref="O4">SUM(ABS(I4:M4 - $H$18:$L$18))</f>
        <v>1.8820850417829706</v>
      </c>
      <c r="P4" s="2" cm="1">
        <f t="array" ref="P4">SUM(ABS(J4:N4 - $H$19:$L$19))</f>
        <v>2.9607343646812425</v>
      </c>
    </row>
    <row r="5" spans="1:16" x14ac:dyDescent="0.35">
      <c r="A5" s="1">
        <v>11.5</v>
      </c>
      <c r="B5" s="2">
        <v>6.37</v>
      </c>
      <c r="C5" s="2">
        <v>5.64</v>
      </c>
      <c r="D5" s="2">
        <v>0.16</v>
      </c>
      <c r="E5" s="2">
        <v>0.14000000000000001</v>
      </c>
      <c r="F5" t="s">
        <v>6</v>
      </c>
      <c r="H5" s="1">
        <f t="shared" si="4"/>
        <v>0</v>
      </c>
      <c r="I5" s="1">
        <f t="shared" si="0"/>
        <v>0.88330632090761751</v>
      </c>
      <c r="J5" s="2">
        <f t="shared" si="1"/>
        <v>1</v>
      </c>
      <c r="K5" s="2">
        <f t="shared" si="2"/>
        <v>1</v>
      </c>
      <c r="L5" s="2">
        <f t="shared" si="3"/>
        <v>0.22916666666666671</v>
      </c>
      <c r="N5" s="2" cm="1">
        <f t="array" ref="N5">SUM(ABS(H5:L5 - $H$17:$L$17))</f>
        <v>0.9004418181206455</v>
      </c>
      <c r="O5" s="2" cm="1">
        <f t="array" ref="O5">SUM(ABS(I5:M5 - $H$18:$L$18))</f>
        <v>2.6682014214624377</v>
      </c>
      <c r="P5" s="2" cm="1">
        <f t="array" ref="P5">SUM(ABS(J5:N5 - $H$19:$L$19))</f>
        <v>2.7168632343814729</v>
      </c>
    </row>
    <row r="6" spans="1:16" x14ac:dyDescent="0.35">
      <c r="A6" s="1">
        <v>18.3</v>
      </c>
      <c r="B6" s="2">
        <v>1.28</v>
      </c>
      <c r="C6" s="2">
        <v>0.67</v>
      </c>
      <c r="D6" s="2">
        <v>0.03</v>
      </c>
      <c r="E6" s="2">
        <v>0.03</v>
      </c>
      <c r="F6" t="s">
        <v>7</v>
      </c>
      <c r="H6" s="1">
        <f t="shared" si="4"/>
        <v>1</v>
      </c>
      <c r="I6" s="1">
        <f t="shared" si="0"/>
        <v>5.834683954619125E-2</v>
      </c>
      <c r="J6" s="2">
        <f t="shared" si="1"/>
        <v>2.7397260273972608E-2</v>
      </c>
      <c r="K6" s="2">
        <f t="shared" si="2"/>
        <v>0.13333333333333333</v>
      </c>
      <c r="L6" s="2">
        <f t="shared" si="3"/>
        <v>0</v>
      </c>
      <c r="N6" s="2" cm="1">
        <f t="array" ref="N6">SUM(ABS(H6:L6 - $H$17:$L$17))</f>
        <v>3.9999499545605413</v>
      </c>
      <c r="O6" s="2" cm="1">
        <f t="array" ref="O6">SUM(ABS(I6:M6 - $H$18:$L$18))</f>
        <v>2.0195116166179625</v>
      </c>
      <c r="P6" s="2" cm="1">
        <f t="array" ref="P6">SUM(ABS(J6:N6 - $H$19:$L$19))</f>
        <v>5.7205380374880352</v>
      </c>
    </row>
    <row r="7" spans="1:16" x14ac:dyDescent="0.35">
      <c r="A7" s="1">
        <v>15.8</v>
      </c>
      <c r="B7" s="2">
        <v>2.39</v>
      </c>
      <c r="C7" s="2">
        <v>0.63</v>
      </c>
      <c r="D7" s="2">
        <v>0.01</v>
      </c>
      <c r="E7" s="2">
        <v>0.04</v>
      </c>
      <c r="F7" t="s">
        <v>7</v>
      </c>
      <c r="H7" s="1">
        <f t="shared" si="4"/>
        <v>0.63235294117647067</v>
      </c>
      <c r="I7" s="1">
        <f t="shared" si="0"/>
        <v>0.2382495948136143</v>
      </c>
      <c r="J7" s="2">
        <f t="shared" si="1"/>
        <v>1.9569471624266144E-2</v>
      </c>
      <c r="K7" s="2">
        <f t="shared" si="2"/>
        <v>0</v>
      </c>
      <c r="L7" s="2">
        <f t="shared" si="3"/>
        <v>2.0833333333333339E-2</v>
      </c>
      <c r="N7" s="2" cm="1">
        <f t="array" ref="N7">SUM(ABS(H7:L7 - $H$17:$L$17))</f>
        <v>3.5727279291192957</v>
      </c>
      <c r="O7" s="2" cm="1">
        <f t="array" ref="O7">SUM(ABS(I7:M7 - $H$18:$L$18))</f>
        <v>1.7676339755057904</v>
      </c>
      <c r="P7" s="2" cm="1">
        <f t="array" ref="P7">SUM(ABS(J7:N7 - $H$19:$L$19))</f>
        <v>5.3946338986072888</v>
      </c>
    </row>
    <row r="8" spans="1:16" x14ac:dyDescent="0.35">
      <c r="A8" s="1">
        <v>18</v>
      </c>
      <c r="B8" s="2">
        <v>1.5</v>
      </c>
      <c r="C8" s="2">
        <v>0.67</v>
      </c>
      <c r="D8" s="2">
        <v>0.01</v>
      </c>
      <c r="E8" s="2">
        <v>0.06</v>
      </c>
      <c r="F8" t="s">
        <v>7</v>
      </c>
      <c r="H8" s="1">
        <f t="shared" si="4"/>
        <v>0.95588235294117641</v>
      </c>
      <c r="I8" s="1">
        <f t="shared" si="0"/>
        <v>9.4003241491085895E-2</v>
      </c>
      <c r="J8" s="2">
        <f t="shared" si="1"/>
        <v>2.7397260273972608E-2</v>
      </c>
      <c r="K8" s="2">
        <f t="shared" si="2"/>
        <v>0</v>
      </c>
      <c r="L8" s="2">
        <f t="shared" si="3"/>
        <v>6.25E-2</v>
      </c>
      <c r="N8" s="2" cm="1">
        <f t="array" ref="N8">SUM(ABS(H8:L8 - $H$17:$L$17))</f>
        <v>3.9910092388901561</v>
      </c>
      <c r="O8" s="2" cm="1">
        <f t="array" ref="O8">SUM(ABS(I8:M8 - $H$18:$L$18))</f>
        <v>1.8623858735119458</v>
      </c>
      <c r="P8" s="2" cm="1">
        <f t="array" ref="P8">SUM(ABS(J8:N8 - $H$19:$L$19))</f>
        <v>5.8467540863951086</v>
      </c>
    </row>
    <row r="9" spans="1:16" x14ac:dyDescent="0.35">
      <c r="A9" s="1">
        <v>18</v>
      </c>
      <c r="B9" s="2">
        <v>1.88</v>
      </c>
      <c r="C9" s="2">
        <v>0.68</v>
      </c>
      <c r="D9" s="2">
        <v>0.01</v>
      </c>
      <c r="E9" s="2">
        <v>0.04</v>
      </c>
      <c r="F9" t="s">
        <v>7</v>
      </c>
      <c r="H9" s="1">
        <f>(A9-MIN($A$2:$A$13))/(MAX($A$2:$A$13)-MIN($A$2:$A$13))</f>
        <v>0.95588235294117641</v>
      </c>
      <c r="I9" s="1">
        <f t="shared" si="0"/>
        <v>0.15559157212317665</v>
      </c>
      <c r="J9" s="2">
        <f t="shared" si="1"/>
        <v>2.9354207436399226E-2</v>
      </c>
      <c r="K9" s="2">
        <f t="shared" si="2"/>
        <v>0</v>
      </c>
      <c r="L9" s="2">
        <f t="shared" si="3"/>
        <v>2.0833333333333339E-2</v>
      </c>
      <c r="N9" s="2" cm="1">
        <f t="array" ref="N9">SUM(ABS(H9:L9 - $H$17:$L$17))</f>
        <v>3.9691306277623055</v>
      </c>
      <c r="O9" s="2" cm="1">
        <f t="array" ref="O9">SUM(ABS(I9:M9 - $H$18:$L$18))</f>
        <v>1.8405072623840948</v>
      </c>
      <c r="P9" s="2" cm="1">
        <f t="array" ref="P9">SUM(ABS(J9:N9 - $H$19:$L$19))</f>
        <v>5.7812518614381654</v>
      </c>
    </row>
    <row r="10" spans="1:16" x14ac:dyDescent="0.35">
      <c r="A10" s="1">
        <v>17.7</v>
      </c>
      <c r="B10" s="2">
        <v>1.1200000000000001</v>
      </c>
      <c r="C10" s="2">
        <v>0.56000000000000005</v>
      </c>
      <c r="D10" s="2">
        <v>0.06</v>
      </c>
      <c r="E10" s="2">
        <v>0.06</v>
      </c>
      <c r="F10" t="s">
        <v>8</v>
      </c>
      <c r="H10" s="1">
        <f t="shared" si="4"/>
        <v>0.9117647058823527</v>
      </c>
      <c r="I10" s="1">
        <f t="shared" si="0"/>
        <v>3.2414910858995151E-2</v>
      </c>
      <c r="J10" s="2">
        <f t="shared" si="1"/>
        <v>5.8708414872798492E-3</v>
      </c>
      <c r="K10" s="2">
        <f t="shared" si="2"/>
        <v>0.33333333333333331</v>
      </c>
      <c r="L10" s="2">
        <f t="shared" si="3"/>
        <v>6.25E-2</v>
      </c>
      <c r="N10" s="2" cm="1">
        <f t="array" ref="N10">SUM(ABS(H10:L10 - $H$17:$L$17))</f>
        <v>3.6966730079167829</v>
      </c>
      <c r="O10" s="2" cm="1">
        <f t="array" ref="O10">SUM(ABS(I10:M10 - $H$18:$L$18))</f>
        <v>2.2044699640918513</v>
      </c>
      <c r="P10" s="2" cm="1">
        <f t="array" ref="P10">SUM(ABS(J10:N10 - $H$19:$L$19))</f>
        <v>5.6738902493569974</v>
      </c>
    </row>
    <row r="11" spans="1:16" x14ac:dyDescent="0.35">
      <c r="A11" s="1">
        <v>18.3</v>
      </c>
      <c r="B11" s="2">
        <v>1.1399999999999999</v>
      </c>
      <c r="C11" s="2">
        <v>0.67</v>
      </c>
      <c r="D11" s="2">
        <v>0.06</v>
      </c>
      <c r="E11" s="2">
        <v>0.05</v>
      </c>
      <c r="F11" t="s">
        <v>8</v>
      </c>
      <c r="H11" s="1">
        <f>(A11-MIN($A$2:$A$13))/(MAX($A$2:$A$13)-MIN($A$2:$A$13))</f>
        <v>1</v>
      </c>
      <c r="I11" s="1">
        <f t="shared" si="0"/>
        <v>3.5656401944894632E-2</v>
      </c>
      <c r="J11" s="2">
        <f t="shared" si="1"/>
        <v>2.7397260273972608E-2</v>
      </c>
      <c r="K11" s="2">
        <f t="shared" si="2"/>
        <v>0.33333333333333331</v>
      </c>
      <c r="L11" s="2">
        <f t="shared" si="3"/>
        <v>4.1666666666666678E-2</v>
      </c>
      <c r="N11" s="2" cm="1">
        <f t="array" ref="N11">SUM(ABS(H11:L11 - $H$17:$L$17))</f>
        <v>3.7809737254951714</v>
      </c>
      <c r="O11" s="2" cm="1">
        <f t="array" ref="O11">SUM(ABS(I11:M11 - $H$18:$L$18))</f>
        <v>2.2005353875525926</v>
      </c>
      <c r="P11" s="2" cm="1">
        <f t="array" ref="P11">SUM(ABS(J11:N11 - $H$19:$L$19))</f>
        <v>5.7158312148153598</v>
      </c>
    </row>
    <row r="12" spans="1:16" x14ac:dyDescent="0.35">
      <c r="A12" s="1">
        <v>16.7</v>
      </c>
      <c r="B12" s="2">
        <v>0.92</v>
      </c>
      <c r="C12" s="2">
        <v>0.53</v>
      </c>
      <c r="D12" s="2">
        <v>0.1</v>
      </c>
      <c r="E12" s="2">
        <v>0.05</v>
      </c>
      <c r="F12" t="s">
        <v>8</v>
      </c>
      <c r="H12" s="1">
        <f t="shared" si="4"/>
        <v>0.76470588235294101</v>
      </c>
      <c r="I12" s="1">
        <f t="shared" si="0"/>
        <v>0</v>
      </c>
      <c r="J12" s="2">
        <f t="shared" si="1"/>
        <v>0</v>
      </c>
      <c r="K12" s="2">
        <f t="shared" si="2"/>
        <v>0.60000000000000009</v>
      </c>
      <c r="L12" s="2">
        <f t="shared" si="3"/>
        <v>4.1666666666666678E-2</v>
      </c>
      <c r="N12" s="2" cm="1">
        <f t="array" ref="N12">SUM(ABS(H12:L12 - $H$17:$L$17))</f>
        <v>3.3420666034003128</v>
      </c>
      <c r="O12" s="2" cm="1">
        <f t="array" ref="O12">SUM(ABS(I12:M12 - $H$18:$L$18))</f>
        <v>2.5302557164381265</v>
      </c>
      <c r="P12" s="2" cm="1">
        <f t="array" ref="P12">SUM(ABS(J12:N12 - $H$19:$L$19))</f>
        <v>5.5709880196611401</v>
      </c>
    </row>
    <row r="13" spans="1:16" x14ac:dyDescent="0.35">
      <c r="A13" s="1">
        <v>14.8</v>
      </c>
      <c r="B13" s="2">
        <v>2.74</v>
      </c>
      <c r="C13" s="2">
        <v>0.67</v>
      </c>
      <c r="D13" s="2">
        <v>0.03</v>
      </c>
      <c r="E13" s="2">
        <v>0.05</v>
      </c>
      <c r="F13" t="s">
        <v>8</v>
      </c>
      <c r="H13" s="1">
        <f t="shared" si="4"/>
        <v>0.48529411764705888</v>
      </c>
      <c r="I13" s="1">
        <f t="shared" si="0"/>
        <v>0.29497568881685582</v>
      </c>
      <c r="J13" s="2">
        <f t="shared" si="1"/>
        <v>2.7397260273972608E-2</v>
      </c>
      <c r="K13" s="2">
        <f t="shared" si="2"/>
        <v>0.13333333333333333</v>
      </c>
      <c r="L13" s="2">
        <f t="shared" si="3"/>
        <v>4.1666666666666678E-2</v>
      </c>
      <c r="N13" s="2" cm="1">
        <f t="array" ref="N13">SUM(ABS(H13:L13 - $H$17:$L$17))</f>
        <v>3.2069485562702691</v>
      </c>
      <c r="O13" s="2" cm="1">
        <f t="array" ref="O13">SUM(ABS(I13:M13 - $H$18:$L$18))</f>
        <v>1.741216100680631</v>
      </c>
      <c r="P13" s="2" cm="1">
        <f t="array" ref="P13">SUM(ABS(J13:N13 - $H$19:$L$19))</f>
        <v>4.9418060455904573</v>
      </c>
    </row>
    <row r="16" spans="1:16" x14ac:dyDescent="0.35">
      <c r="A16" t="s">
        <v>14</v>
      </c>
      <c r="B16" t="s">
        <v>15</v>
      </c>
      <c r="C16" t="s">
        <v>16</v>
      </c>
      <c r="D16" t="s">
        <v>17</v>
      </c>
      <c r="E16" t="s">
        <v>18</v>
      </c>
      <c r="H16" t="s">
        <v>19</v>
      </c>
      <c r="I16" t="s">
        <v>20</v>
      </c>
      <c r="J16" t="s">
        <v>21</v>
      </c>
      <c r="K16" t="s">
        <v>22</v>
      </c>
      <c r="L16" t="s">
        <v>23</v>
      </c>
      <c r="N16" t="s">
        <v>27</v>
      </c>
      <c r="O16" t="s">
        <v>28</v>
      </c>
      <c r="P16" t="s">
        <v>29</v>
      </c>
    </row>
    <row r="17" spans="1:16" x14ac:dyDescent="0.35">
      <c r="A17" s="2">
        <v>13.8</v>
      </c>
      <c r="B17" s="2">
        <v>7.06</v>
      </c>
      <c r="C17" s="2">
        <v>5.34</v>
      </c>
      <c r="D17" s="2">
        <v>0.2</v>
      </c>
      <c r="E17" s="2">
        <v>0.2</v>
      </c>
      <c r="H17" s="2">
        <f>(A17-MIN($A$2:$A$13))/(MAX($A$2:$A$13)-MIN($A$2:$A$13))</f>
        <v>0.33823529411764713</v>
      </c>
      <c r="I17" s="1">
        <f>(B17-MIN($B$2:$B$13))/(MAX($B$2:$B$13)-MIN($B$2:$B$13))</f>
        <v>0.99513776337115067</v>
      </c>
      <c r="J17" s="2">
        <f>(C17-MIN($C$2:$C$13))/(MAX($C$2:$C$13)-MIN($C$2:$C$13))</f>
        <v>0.94129158512720157</v>
      </c>
      <c r="K17" s="2">
        <f>(D17-MIN($D$2:$D$13))/(MAX($D$2:$D$13)-MIN($D$2:$D$13))</f>
        <v>1.2666666666666668</v>
      </c>
      <c r="L17" s="2">
        <f>(E17-MIN($E$2:$E$13))/(MAX($E$2:$E$13)-MIN($E$2:$E$13))</f>
        <v>0.35416666666666669</v>
      </c>
      <c r="N17" s="2" cm="1">
        <f t="array" ref="N17">SQRT(SUM(($H2:$L2-H$17:$L$17)^2))</f>
        <v>0.75994292421298781</v>
      </c>
      <c r="O17" s="2" cm="1">
        <f t="array" ref="O17">SQRT(SUM(($H2:$L2-H$18:$L$18)^2))</f>
        <v>1.7839298063624551</v>
      </c>
      <c r="P17" s="2" cm="1">
        <f t="array" ref="P17">SQRT(SUM(($H2:$L2-H$19:$L$19)^2))</f>
        <v>1.6934543997059437</v>
      </c>
    </row>
    <row r="18" spans="1:16" x14ac:dyDescent="0.35">
      <c r="A18" s="2">
        <v>20.8</v>
      </c>
      <c r="B18" s="2">
        <v>1.51</v>
      </c>
      <c r="C18" s="2">
        <v>0.72</v>
      </c>
      <c r="D18" s="2">
        <v>7.0000000000000007E-2</v>
      </c>
      <c r="E18" s="4">
        <v>0.1</v>
      </c>
      <c r="H18" s="2">
        <f t="shared" ref="H18:H19" si="5">(A18-MIN($A$2:$A$13))/(MAX($A$2:$A$13)-MIN($A$2:$A$13))</f>
        <v>1.3676470588235294</v>
      </c>
      <c r="I18" s="1">
        <f t="shared" ref="I18:I19" si="6">(B18-MIN($B$2:$B$13))/(MAX($B$2:$B$13)-MIN($B$2:$B$13))</f>
        <v>9.5623987034035657E-2</v>
      </c>
      <c r="J18" s="2">
        <f t="shared" ref="J18:J19" si="7">(C18-MIN($C$2:$C$13))/(MAX($C$2:$C$13)-MIN($C$2:$C$13))</f>
        <v>3.7181996086105666E-2</v>
      </c>
      <c r="K18" s="2">
        <f t="shared" ref="K18:K19" si="8">(D18-MIN($D$2:$D$13))/(MAX($D$2:$D$13)-MIN($D$2:$D$13))</f>
        <v>0.4</v>
      </c>
      <c r="L18" s="2">
        <f t="shared" ref="L18:L19" si="9">(E18-MIN($E$2:$E$13))/(MAX($E$2:$E$13)-MIN($E$2:$E$13))</f>
        <v>0.14583333333333334</v>
      </c>
      <c r="N18" s="2" cm="1">
        <f t="array" ref="N18">SQRT(SUM(($H3:$L3-H$17:$L$17)^2))</f>
        <v>0.65427087561689612</v>
      </c>
      <c r="O18" s="2" cm="1">
        <f t="array" ref="O18">SQRT(SUM(($H3:$L3-H$18:$L$18)^2))</f>
        <v>1.5127084580157633</v>
      </c>
      <c r="P18" s="2" cm="1">
        <f t="array" ref="P18">SQRT(SUM(($H3:$L3-H$19:$L$19)^2))</f>
        <v>1.339556489614433</v>
      </c>
    </row>
    <row r="19" spans="1:16" x14ac:dyDescent="0.35">
      <c r="A19" s="3">
        <v>19.100000000000001</v>
      </c>
      <c r="B19" s="2">
        <v>1.64</v>
      </c>
      <c r="C19" s="2">
        <v>0.6</v>
      </c>
      <c r="D19" s="2">
        <v>0.1</v>
      </c>
      <c r="E19" s="2">
        <v>0.03</v>
      </c>
      <c r="H19" s="2">
        <f t="shared" si="5"/>
        <v>1.1176470588235294</v>
      </c>
      <c r="I19" s="1">
        <f t="shared" si="6"/>
        <v>0.11669367909238247</v>
      </c>
      <c r="J19" s="2">
        <f t="shared" si="7"/>
        <v>1.3698630136986294E-2</v>
      </c>
      <c r="K19" s="2">
        <f t="shared" si="8"/>
        <v>0.60000000000000009</v>
      </c>
      <c r="L19" s="2">
        <f t="shared" si="9"/>
        <v>0</v>
      </c>
      <c r="N19" s="2" cm="1">
        <f t="array" ref="N19">SQRT(SUM(($H4:$L4-H$17:$L$17)^2))</f>
        <v>0.55970965922866134</v>
      </c>
      <c r="O19" s="2" cm="1">
        <f t="array" ref="O19">SQRT(SUM(($H4:$L4-H$18:$L$18)^2))</f>
        <v>1.4950004617642709</v>
      </c>
      <c r="P19" s="2" cm="1">
        <f t="array" ref="P19">SQRT(SUM(($H4:$L4-H$19:$L$19)^2))</f>
        <v>1.340001804609279</v>
      </c>
    </row>
    <row r="20" spans="1:16" x14ac:dyDescent="0.35">
      <c r="N20" s="2" cm="1">
        <f t="array" ref="N20">SQRT(SUM(($H5:$L5-H$17:$L$17)^2))</f>
        <v>0.46593151299124813</v>
      </c>
      <c r="O20" s="2" cm="1">
        <f t="array" ref="O20">SQRT(SUM(($H5:$L5-H$18:$L$18)^2))</f>
        <v>1.945472921865109</v>
      </c>
      <c r="P20" s="2" cm="1">
        <f t="array" ref="P20">SQRT(SUM(($H5:$L5-H$19:$L$19)^2))</f>
        <v>1.7384296488476572</v>
      </c>
    </row>
    <row r="21" spans="1:16" x14ac:dyDescent="0.35">
      <c r="N21" s="2" cm="1">
        <f t="array" ref="N21">SQRT(SUM(($H6:$L6-H$17:$L$17)^2))</f>
        <v>1.88695285318249</v>
      </c>
      <c r="O21" s="2" cm="1">
        <f t="array" ref="O21">SQRT(SUM(($H6:$L6-H$18:$L$18)^2))</f>
        <v>0.47856886533032811</v>
      </c>
      <c r="P21" s="2" cm="1">
        <f t="array" ref="P21">SQRT(SUM(($H6:$L6-H$19:$L$19)^2))</f>
        <v>0.48498516923743534</v>
      </c>
    </row>
    <row r="22" spans="1:16" x14ac:dyDescent="0.35">
      <c r="N22" s="2" cm="1">
        <f t="array" ref="N22">SQRT(SUM(($H7:$L7-H$17:$L$17)^2))</f>
        <v>1.7956926519005625</v>
      </c>
      <c r="O22" s="2" cm="1">
        <f t="array" ref="O22">SQRT(SUM(($H7:$L7-H$18:$L$18)^2))</f>
        <v>0.85844901098363424</v>
      </c>
      <c r="P22" s="2" cm="1">
        <f t="array" ref="P22">SQRT(SUM(($H7:$L7-H$19:$L$19)^2))</f>
        <v>0.78150797553653362</v>
      </c>
    </row>
    <row r="23" spans="1:16" x14ac:dyDescent="0.35">
      <c r="N23" s="2" cm="1">
        <f t="array" ref="N23">SQRT(SUM(($H8:$L8-H$17:$L$17)^2))</f>
        <v>1.9282759246760299</v>
      </c>
      <c r="O23" s="2" cm="1">
        <f t="array" ref="O23">SQRT(SUM(($H8:$L8-H$18:$L$18)^2))</f>
        <v>0.58016634280683099</v>
      </c>
      <c r="P23" s="2" cm="1">
        <f t="array" ref="P23">SQRT(SUM(($H8:$L8-H$19:$L$19)^2))</f>
        <v>0.62512125103484728</v>
      </c>
    </row>
    <row r="24" spans="1:16" x14ac:dyDescent="0.35">
      <c r="N24" s="2" cm="1">
        <f t="array" ref="N24">SQRT(SUM(($H9:$L9-H$17:$L$17)^2))</f>
        <v>1.906177072807631</v>
      </c>
      <c r="O24" s="2" cm="1">
        <f t="array" ref="O24">SQRT(SUM(($H9:$L9-H$18:$L$18)^2))</f>
        <v>0.59062048605424156</v>
      </c>
      <c r="P24" s="2" cm="1">
        <f t="array" ref="P24">SQRT(SUM(($H9:$L9-H$19:$L$19)^2))</f>
        <v>0.62318535848477308</v>
      </c>
    </row>
    <row r="25" spans="1:16" x14ac:dyDescent="0.35">
      <c r="N25" s="2" cm="1">
        <f t="array" ref="N25">SQRT(SUM(($H10:$L10-H$17:$L$17)^2))</f>
        <v>1.7569757539863009</v>
      </c>
      <c r="O25" s="2" cm="1">
        <f t="array" ref="O25">SQRT(SUM(($H10:$L10-H$18:$L$18)^2))</f>
        <v>0.47349063805453029</v>
      </c>
      <c r="P25" s="2" cm="1">
        <f t="array" ref="P25">SQRT(SUM(($H10:$L10-H$19:$L$19)^2))</f>
        <v>0.35294346489740808</v>
      </c>
    </row>
    <row r="26" spans="1:16" x14ac:dyDescent="0.35">
      <c r="N26" s="2" cm="1">
        <f t="array" ref="N26">SQRT(SUM(($H11:$L11-H$17:$L$17)^2))</f>
        <v>1.7783439506985113</v>
      </c>
      <c r="O26" s="2" cm="1">
        <f t="array" ref="O26">SQRT(SUM(($H11:$L11-H$18:$L$18)^2))</f>
        <v>0.39262112916502245</v>
      </c>
      <c r="P26" s="2" cm="1">
        <f t="array" ref="P26">SQRT(SUM(($H11:$L11-H$19:$L$19)^2))</f>
        <v>0.30568406145423738</v>
      </c>
    </row>
    <row r="27" spans="1:16" x14ac:dyDescent="0.35">
      <c r="N27" s="2" cm="1">
        <f t="array" ref="N27">SQRT(SUM(($H12:$L12-H$17:$L$17)^2))</f>
        <v>1.6125467042516375</v>
      </c>
      <c r="O27" s="2" cm="1">
        <f t="array" ref="O27">SQRT(SUM(($H12:$L12-H$18:$L$18)^2))</f>
        <v>0.65185520206362879</v>
      </c>
      <c r="P27" s="2" cm="1">
        <f t="array" ref="P27">SQRT(SUM(($H12:$L12-H$19:$L$19)^2))</f>
        <v>0.3743109033508108</v>
      </c>
    </row>
    <row r="28" spans="1:16" x14ac:dyDescent="0.35">
      <c r="N28" s="2" cm="1">
        <f t="array" ref="N28">SQRT(SUM(($H13:$L13-H$17:$L$17)^2))</f>
        <v>1.6520159683445597</v>
      </c>
      <c r="O28" s="2" cm="1">
        <f t="array" ref="O28">SQRT(SUM(($H13:$L13-H$18:$L$18)^2))</f>
        <v>0.94886530151383619</v>
      </c>
      <c r="P28" s="2" cm="1">
        <f t="array" ref="P28">SQRT(SUM(($H13:$L13-H$19:$L$19)^2))</f>
        <v>0.80706645238322794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8A81-73F5-40D1-B9C1-8AF16FAECDF5}">
  <dimension ref="B2:F8"/>
  <sheetViews>
    <sheetView tabSelected="1" workbookViewId="0">
      <selection activeCell="B8" sqref="B8:F8"/>
    </sheetView>
  </sheetViews>
  <sheetFormatPr baseColWidth="10" defaultRowHeight="14.5" x14ac:dyDescent="0.35"/>
  <cols>
    <col min="2" max="2" width="15" bestFit="1" customWidth="1"/>
    <col min="3" max="3" width="21.08984375" bestFit="1" customWidth="1"/>
    <col min="4" max="4" width="21.1796875" bestFit="1" customWidth="1"/>
  </cols>
  <sheetData>
    <row r="2" spans="2:6" x14ac:dyDescent="0.35">
      <c r="B2" t="s">
        <v>30</v>
      </c>
      <c r="C2" t="s">
        <v>31</v>
      </c>
      <c r="D2" t="s">
        <v>32</v>
      </c>
      <c r="E2" t="s">
        <v>33</v>
      </c>
      <c r="F2" t="s">
        <v>34</v>
      </c>
    </row>
    <row r="3" spans="2:6" x14ac:dyDescent="0.35">
      <c r="B3">
        <v>131</v>
      </c>
      <c r="C3">
        <v>138</v>
      </c>
      <c r="D3">
        <v>89</v>
      </c>
      <c r="E3">
        <v>49</v>
      </c>
      <c r="F3">
        <v>4000</v>
      </c>
    </row>
    <row r="4" spans="2:6" x14ac:dyDescent="0.35">
      <c r="B4">
        <v>125</v>
      </c>
      <c r="C4">
        <v>131</v>
      </c>
      <c r="D4">
        <v>92</v>
      </c>
      <c r="E4">
        <v>48</v>
      </c>
      <c r="F4">
        <v>4000</v>
      </c>
    </row>
    <row r="5" spans="2:6" x14ac:dyDescent="0.35">
      <c r="B5">
        <v>131</v>
      </c>
      <c r="C5">
        <v>132</v>
      </c>
      <c r="D5">
        <v>99</v>
      </c>
      <c r="E5">
        <v>50</v>
      </c>
      <c r="F5">
        <v>4000</v>
      </c>
    </row>
    <row r="6" spans="2:6" x14ac:dyDescent="0.35">
      <c r="B6">
        <v>124</v>
      </c>
      <c r="C6">
        <v>138</v>
      </c>
      <c r="D6">
        <v>101</v>
      </c>
      <c r="E6">
        <v>48</v>
      </c>
      <c r="F6">
        <v>3300</v>
      </c>
    </row>
    <row r="7" spans="2:6" x14ac:dyDescent="0.35">
      <c r="B7">
        <v>133</v>
      </c>
      <c r="C7">
        <v>134</v>
      </c>
      <c r="D7">
        <v>97</v>
      </c>
      <c r="E7">
        <v>48</v>
      </c>
      <c r="F7">
        <v>3300</v>
      </c>
    </row>
    <row r="8" spans="2:6" x14ac:dyDescent="0.35">
      <c r="B8" s="5">
        <v>138</v>
      </c>
      <c r="C8" s="5">
        <v>134</v>
      </c>
      <c r="D8" s="5">
        <v>98</v>
      </c>
      <c r="E8" s="5">
        <v>45</v>
      </c>
      <c r="F8" s="5">
        <v>3300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kNN_ejercicio_13</vt:lpstr>
      <vt:lpstr>kNN_ejercicio_16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ANTONIO FERNANDEZ RUIZ</cp:lastModifiedBy>
  <dcterms:created xsi:type="dcterms:W3CDTF">2026-05-30T10:02:31Z</dcterms:created>
  <dcterms:modified xsi:type="dcterms:W3CDTF">2026-05-31T20:30:00Z</dcterms:modified>
</cp:coreProperties>
</file>